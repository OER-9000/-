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ruh\Desktop\"/>
    </mc:Choice>
  </mc:AlternateContent>
  <xr:revisionPtr revIDLastSave="0" documentId="13_ncr:1_{05862AF5-1DD0-4C96-8DFB-7DBEF4A65D1A}" xr6:coauthVersionLast="45" xr6:coauthVersionMax="45" xr10:uidLastSave="{00000000-0000-0000-0000-000000000000}"/>
  <bookViews>
    <workbookView xWindow="-98" yWindow="-98" windowWidth="20715" windowHeight="13276" xr2:uid="{00000000-000D-0000-FFFF-FFFF00000000}"/>
  </bookViews>
  <sheets>
    <sheet name="メイン画面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0" i="1" l="1"/>
  <c r="H39" i="1"/>
  <c r="H38" i="1"/>
  <c r="H37" i="1"/>
  <c r="H36" i="1"/>
  <c r="H35" i="1"/>
  <c r="R3" i="1" l="1"/>
  <c r="O3" i="1"/>
  <c r="L3" i="1"/>
  <c r="I3" i="1"/>
  <c r="F3" i="1"/>
  <c r="C3" i="1"/>
  <c r="G48" i="1"/>
  <c r="G47" i="1"/>
  <c r="G46" i="1"/>
  <c r="G45" i="1"/>
  <c r="G44" i="1"/>
  <c r="G43" i="1"/>
  <c r="F48" i="1"/>
  <c r="F47" i="1"/>
  <c r="F46" i="1"/>
  <c r="F45" i="1"/>
  <c r="F44" i="1"/>
  <c r="F43" i="1"/>
  <c r="E48" i="1"/>
  <c r="E47" i="1"/>
  <c r="E46" i="1"/>
  <c r="E45" i="1"/>
  <c r="E44" i="1"/>
  <c r="E43" i="1"/>
  <c r="D48" i="1"/>
  <c r="D47" i="1"/>
  <c r="D46" i="1"/>
  <c r="D45" i="1"/>
  <c r="D44" i="1"/>
  <c r="D43" i="1"/>
  <c r="R25" i="1" l="1"/>
  <c r="B48" i="1"/>
  <c r="B47" i="1"/>
  <c r="B46" i="1"/>
  <c r="B45" i="1"/>
  <c r="B44" i="1"/>
  <c r="B43" i="1"/>
  <c r="B35" i="1"/>
  <c r="B40" i="1"/>
  <c r="B39" i="1"/>
  <c r="B38" i="1"/>
  <c r="B37" i="1"/>
  <c r="B36" i="1"/>
  <c r="C25" i="1" l="1"/>
  <c r="F25" i="1"/>
  <c r="I25" i="1"/>
  <c r="L25" i="1"/>
  <c r="O25" i="1"/>
  <c r="R24" i="1" l="1"/>
  <c r="O24" i="1"/>
  <c r="L24" i="1"/>
  <c r="I24" i="1"/>
  <c r="F24" i="1"/>
  <c r="C24" i="1"/>
  <c r="D35" i="1"/>
  <c r="R5" i="1"/>
  <c r="O5" i="1"/>
  <c r="L5" i="1"/>
  <c r="F37" i="1"/>
  <c r="G37" i="1"/>
  <c r="E37" i="1"/>
  <c r="D37" i="1"/>
  <c r="G36" i="1"/>
  <c r="F36" i="1"/>
  <c r="D36" i="1"/>
  <c r="E36" i="1"/>
  <c r="G38" i="1"/>
  <c r="F38" i="1"/>
  <c r="E38" i="1"/>
  <c r="D38" i="1"/>
  <c r="G39" i="1"/>
  <c r="F39" i="1"/>
  <c r="E39" i="1"/>
  <c r="D39" i="1"/>
  <c r="G40" i="1"/>
  <c r="F40" i="1"/>
  <c r="E40" i="1"/>
  <c r="D40" i="1"/>
  <c r="R4" i="1" l="1"/>
  <c r="O4" i="1"/>
  <c r="L4" i="1"/>
  <c r="I4" i="1"/>
  <c r="F4" i="1"/>
  <c r="C4" i="1"/>
  <c r="U19" i="1"/>
  <c r="I5" i="1"/>
  <c r="F5" i="1"/>
  <c r="C5" i="1"/>
  <c r="R23" i="1" l="1"/>
  <c r="O23" i="1"/>
  <c r="L23" i="1"/>
  <c r="I23" i="1"/>
  <c r="F23" i="1"/>
  <c r="C23" i="1"/>
  <c r="E35" i="1"/>
  <c r="F35" i="1"/>
  <c r="G35" i="1"/>
</calcChain>
</file>

<file path=xl/sharedStrings.xml><?xml version="1.0" encoding="utf-8"?>
<sst xmlns="http://schemas.openxmlformats.org/spreadsheetml/2006/main" count="120" uniqueCount="84">
  <si>
    <t>ステータス</t>
    <phoneticPr fontId="1"/>
  </si>
  <si>
    <t>NO</t>
    <phoneticPr fontId="1"/>
  </si>
  <si>
    <t>名前</t>
    <rPh sb="0" eb="2">
      <t>ナマエ</t>
    </rPh>
    <phoneticPr fontId="1"/>
  </si>
  <si>
    <t>ATK</t>
    <phoneticPr fontId="1"/>
  </si>
  <si>
    <t>DEF</t>
    <phoneticPr fontId="1"/>
  </si>
  <si>
    <t>HP</t>
    <phoneticPr fontId="1"/>
  </si>
  <si>
    <t>編成</t>
    <rPh sb="0" eb="2">
      <t>ヘンセイ</t>
    </rPh>
    <phoneticPr fontId="1"/>
  </si>
  <si>
    <t>LUCK</t>
    <phoneticPr fontId="1"/>
  </si>
  <si>
    <t>敵のステータス</t>
    <rPh sb="0" eb="1">
      <t>テキ</t>
    </rPh>
    <phoneticPr fontId="1"/>
  </si>
  <si>
    <t>HP</t>
    <phoneticPr fontId="1"/>
  </si>
  <si>
    <t>状態</t>
    <rPh sb="0" eb="2">
      <t>ジョウタイ</t>
    </rPh>
    <phoneticPr fontId="1"/>
  </si>
  <si>
    <t>標的艦１</t>
    <rPh sb="0" eb="2">
      <t>ヒョウテキ</t>
    </rPh>
    <rPh sb="2" eb="3">
      <t>カン</t>
    </rPh>
    <phoneticPr fontId="1"/>
  </si>
  <si>
    <t>標的艦２</t>
    <rPh sb="0" eb="2">
      <t>ヒョウテキ</t>
    </rPh>
    <rPh sb="2" eb="3">
      <t>カン</t>
    </rPh>
    <phoneticPr fontId="1"/>
  </si>
  <si>
    <t>標的艦３</t>
    <rPh sb="0" eb="2">
      <t>ヒョウテキ</t>
    </rPh>
    <rPh sb="2" eb="3">
      <t>カン</t>
    </rPh>
    <phoneticPr fontId="1"/>
  </si>
  <si>
    <t>標的艦４</t>
    <rPh sb="0" eb="2">
      <t>ヒョウテキ</t>
    </rPh>
    <rPh sb="2" eb="3">
      <t>カン</t>
    </rPh>
    <phoneticPr fontId="1"/>
  </si>
  <si>
    <t>標的艦５</t>
    <rPh sb="0" eb="2">
      <t>ヒョウテキ</t>
    </rPh>
    <rPh sb="2" eb="3">
      <t>カン</t>
    </rPh>
    <phoneticPr fontId="1"/>
  </si>
  <si>
    <t>標的艦６</t>
    <rPh sb="0" eb="2">
      <t>ヒョウテキ</t>
    </rPh>
    <rPh sb="2" eb="3">
      <t>カン</t>
    </rPh>
    <phoneticPr fontId="1"/>
  </si>
  <si>
    <t>敷島</t>
    <rPh sb="0" eb="2">
      <t>シキシマ</t>
    </rPh>
    <phoneticPr fontId="1"/>
  </si>
  <si>
    <t>友軍</t>
    <rPh sb="0" eb="2">
      <t>ユウグン</t>
    </rPh>
    <phoneticPr fontId="1"/>
  </si>
  <si>
    <t>敵軍</t>
    <rPh sb="0" eb="2">
      <t>テキグン</t>
    </rPh>
    <phoneticPr fontId="1"/>
  </si>
  <si>
    <t>扶桑[1]</t>
    <rPh sb="0" eb="2">
      <t>フソウ</t>
    </rPh>
    <phoneticPr fontId="1"/>
  </si>
  <si>
    <t>富士[2]</t>
    <rPh sb="0" eb="2">
      <t>フジ</t>
    </rPh>
    <phoneticPr fontId="1"/>
  </si>
  <si>
    <t>朝日</t>
    <rPh sb="0" eb="2">
      <t>アサヒ</t>
    </rPh>
    <phoneticPr fontId="1"/>
  </si>
  <si>
    <t>初瀬</t>
    <rPh sb="0" eb="1">
      <t>ハツ</t>
    </rPh>
    <rPh sb="1" eb="2">
      <t>セ</t>
    </rPh>
    <phoneticPr fontId="1"/>
  </si>
  <si>
    <t>香取[1]</t>
    <rPh sb="0" eb="2">
      <t>カトリ</t>
    </rPh>
    <phoneticPr fontId="1"/>
  </si>
  <si>
    <t>鹿島[1]</t>
    <rPh sb="0" eb="2">
      <t>カシマ</t>
    </rPh>
    <phoneticPr fontId="1"/>
  </si>
  <si>
    <t>ATK</t>
    <phoneticPr fontId="1"/>
  </si>
  <si>
    <t>DEF</t>
    <phoneticPr fontId="1"/>
  </si>
  <si>
    <t>HP</t>
    <phoneticPr fontId="1"/>
  </si>
  <si>
    <t>LUCK</t>
    <phoneticPr fontId="1"/>
  </si>
  <si>
    <t>攻撃順番</t>
    <rPh sb="0" eb="2">
      <t>コウゲキ</t>
    </rPh>
    <rPh sb="2" eb="4">
      <t>ジュンバン</t>
    </rPh>
    <phoneticPr fontId="1"/>
  </si>
  <si>
    <t>戦闘状況</t>
    <rPh sb="0" eb="2">
      <t>セントウ</t>
    </rPh>
    <rPh sb="2" eb="4">
      <t>ジョウキョウ</t>
    </rPh>
    <phoneticPr fontId="1"/>
  </si>
  <si>
    <t>撃沈判定</t>
    <rPh sb="0" eb="2">
      <t>ゲキチン</t>
    </rPh>
    <rPh sb="2" eb="4">
      <t>ハンテイ</t>
    </rPh>
    <phoneticPr fontId="1"/>
  </si>
  <si>
    <t>メッセージ</t>
    <phoneticPr fontId="1"/>
  </si>
  <si>
    <t>残HP</t>
    <rPh sb="0" eb="1">
      <t>ザン</t>
    </rPh>
    <phoneticPr fontId="1"/>
  </si>
  <si>
    <t>フェーズ</t>
    <phoneticPr fontId="1"/>
  </si>
  <si>
    <t>砲撃戦</t>
    <phoneticPr fontId="1"/>
  </si>
  <si>
    <t>富士[2]</t>
    <phoneticPr fontId="1"/>
  </si>
  <si>
    <t>香取[1]</t>
    <rPh sb="0" eb="2">
      <t>カトリ</t>
    </rPh>
    <phoneticPr fontId="1"/>
  </si>
  <si>
    <t>香取[1]</t>
    <phoneticPr fontId="1"/>
  </si>
  <si>
    <t>練度</t>
    <rPh sb="0" eb="2">
      <t>レンド</t>
    </rPh>
    <phoneticPr fontId="1"/>
  </si>
  <si>
    <t>経験値</t>
    <rPh sb="0" eb="3">
      <t>ケイケンチ</t>
    </rPh>
    <phoneticPr fontId="1"/>
  </si>
  <si>
    <t>朝日</t>
    <phoneticPr fontId="1"/>
  </si>
  <si>
    <t>初瀬</t>
    <phoneticPr fontId="1"/>
  </si>
  <si>
    <t>練度</t>
    <rPh sb="0" eb="2">
      <t>レンド</t>
    </rPh>
    <phoneticPr fontId="1"/>
  </si>
  <si>
    <t>朝日</t>
    <rPh sb="0" eb="2">
      <t>アサヒ</t>
    </rPh>
    <phoneticPr fontId="1"/>
  </si>
  <si>
    <t>敷島</t>
    <rPh sb="0" eb="2">
      <t>シキシマ</t>
    </rPh>
    <phoneticPr fontId="1"/>
  </si>
  <si>
    <t>初瀬</t>
    <rPh sb="0" eb="1">
      <t>ハツ</t>
    </rPh>
    <rPh sb="1" eb="2">
      <t>セ</t>
    </rPh>
    <phoneticPr fontId="1"/>
  </si>
  <si>
    <t>敷島</t>
    <phoneticPr fontId="1"/>
  </si>
  <si>
    <t>練習戦艦１</t>
    <rPh sb="0" eb="2">
      <t>レンシュウ</t>
    </rPh>
    <rPh sb="2" eb="4">
      <t>センカン</t>
    </rPh>
    <phoneticPr fontId="1"/>
  </si>
  <si>
    <t>練習戦艦２</t>
    <rPh sb="0" eb="2">
      <t>レンシュウ</t>
    </rPh>
    <rPh sb="2" eb="4">
      <t>センカン</t>
    </rPh>
    <phoneticPr fontId="1"/>
  </si>
  <si>
    <t>練習戦艦３</t>
    <rPh sb="0" eb="2">
      <t>レンシュウ</t>
    </rPh>
    <rPh sb="2" eb="4">
      <t>センカン</t>
    </rPh>
    <phoneticPr fontId="1"/>
  </si>
  <si>
    <t>練習戦艦４</t>
    <rPh sb="0" eb="2">
      <t>レンシュウ</t>
    </rPh>
    <rPh sb="2" eb="4">
      <t>センカン</t>
    </rPh>
    <phoneticPr fontId="1"/>
  </si>
  <si>
    <t>練習戦艦５</t>
    <rPh sb="0" eb="2">
      <t>レンシュウ</t>
    </rPh>
    <rPh sb="2" eb="4">
      <t>センカン</t>
    </rPh>
    <phoneticPr fontId="1"/>
  </si>
  <si>
    <t>練習戦艦６</t>
    <rPh sb="0" eb="2">
      <t>レンシュウ</t>
    </rPh>
    <rPh sb="2" eb="4">
      <t>センカン</t>
    </rPh>
    <phoneticPr fontId="1"/>
  </si>
  <si>
    <t>三笠</t>
    <rPh sb="0" eb="2">
      <t>ミカサ</t>
    </rPh>
    <phoneticPr fontId="1"/>
  </si>
  <si>
    <t>三笠</t>
    <rPh sb="0" eb="2">
      <t>ミカサ</t>
    </rPh>
    <phoneticPr fontId="1"/>
  </si>
  <si>
    <t>三笠</t>
    <phoneticPr fontId="1"/>
  </si>
  <si>
    <t>攻撃</t>
    <rPh sb="0" eb="2">
      <t>コウゲキ</t>
    </rPh>
    <phoneticPr fontId="1"/>
  </si>
  <si>
    <t>防御</t>
    <rPh sb="0" eb="2">
      <t>ボウギョ</t>
    </rPh>
    <phoneticPr fontId="1"/>
  </si>
  <si>
    <t>運</t>
    <rPh sb="0" eb="1">
      <t>ウン</t>
    </rPh>
    <phoneticPr fontId="1"/>
  </si>
  <si>
    <t>春日</t>
    <rPh sb="0" eb="2">
      <t>カスガ</t>
    </rPh>
    <phoneticPr fontId="1"/>
  </si>
  <si>
    <t>日進</t>
    <rPh sb="0" eb="2">
      <t>ニッシン</t>
    </rPh>
    <phoneticPr fontId="1"/>
  </si>
  <si>
    <t>千歳</t>
    <rPh sb="0" eb="2">
      <t>チトセ</t>
    </rPh>
    <phoneticPr fontId="1"/>
  </si>
  <si>
    <t>新高</t>
    <rPh sb="0" eb="2">
      <t>ニイタカ</t>
    </rPh>
    <phoneticPr fontId="1"/>
  </si>
  <si>
    <t>出雲</t>
    <rPh sb="0" eb="2">
      <t>イズモ</t>
    </rPh>
    <phoneticPr fontId="1"/>
  </si>
  <si>
    <t>吾妻</t>
    <rPh sb="0" eb="2">
      <t>アガツマ</t>
    </rPh>
    <phoneticPr fontId="1"/>
  </si>
  <si>
    <t>信濃丸</t>
    <rPh sb="0" eb="2">
      <t>シナノ</t>
    </rPh>
    <rPh sb="2" eb="3">
      <t>マル</t>
    </rPh>
    <phoneticPr fontId="1"/>
  </si>
  <si>
    <t>河内</t>
    <rPh sb="0" eb="2">
      <t>カワチ</t>
    </rPh>
    <phoneticPr fontId="1"/>
  </si>
  <si>
    <t>薩摩</t>
    <rPh sb="0" eb="2">
      <t>サツマ</t>
    </rPh>
    <phoneticPr fontId="1"/>
  </si>
  <si>
    <t>摂津</t>
    <rPh sb="0" eb="2">
      <t>セッツ</t>
    </rPh>
    <phoneticPr fontId="1"/>
  </si>
  <si>
    <t>スワロフ</t>
    <phoneticPr fontId="1"/>
  </si>
  <si>
    <t>オリョール</t>
    <phoneticPr fontId="1"/>
  </si>
  <si>
    <t>ガングート</t>
    <phoneticPr fontId="1"/>
  </si>
  <si>
    <t>マラート</t>
    <phoneticPr fontId="1"/>
  </si>
  <si>
    <t>アヴローラ</t>
    <phoneticPr fontId="1"/>
  </si>
  <si>
    <t>ノヴコロド</t>
    <phoneticPr fontId="1"/>
  </si>
  <si>
    <t>練習戦艦１</t>
    <phoneticPr fontId="1"/>
  </si>
  <si>
    <t>練習戦艦２</t>
    <phoneticPr fontId="1"/>
  </si>
  <si>
    <t>練習戦艦３</t>
    <phoneticPr fontId="1"/>
  </si>
  <si>
    <t>練習戦艦４</t>
    <phoneticPr fontId="1"/>
  </si>
  <si>
    <t>練習戦艦５</t>
    <phoneticPr fontId="1"/>
  </si>
  <si>
    <t>練習戦艦６</t>
    <phoneticPr fontId="1"/>
  </si>
  <si>
    <t>戦闘終了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</si>
</sst>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indexed="9"/>
      <name val="ＭＳ Ｐ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4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0" fillId="4" borderId="0" xfId="0" applyFill="1">
      <alignment vertical="center"/>
    </xf>
    <xf numFmtId="0" fontId="2" fillId="4" borderId="0" xfId="0" applyFont="1" applyFill="1">
      <alignment vertical="center"/>
    </xf>
    <xf numFmtId="0" fontId="3" fillId="4" borderId="0" xfId="0" applyFont="1" applyFill="1">
      <alignment vertical="center"/>
    </xf>
    <xf numFmtId="0" fontId="2" fillId="3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571049</xdr:colOff>
      <xdr:row>27</xdr:row>
      <xdr:rowOff>48484</xdr:rowOff>
    </xdr:from>
    <xdr:to>
      <xdr:col>22</xdr:col>
      <xdr:colOff>126617</xdr:colOff>
      <xdr:row>31</xdr:row>
      <xdr:rowOff>58009</xdr:rowOff>
    </xdr:to>
    <xdr:sp macro="[0]!test2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2251080" y="4388313"/>
          <a:ext cx="2151131" cy="652462"/>
        </a:xfrm>
        <a:prstGeom prst="rect">
          <a:avLst/>
        </a:prstGeom>
        <a:solidFill>
          <a:srgbClr val="C00000"/>
        </a:solidFill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3200"/>
            <a:t>戦闘開始</a:t>
          </a:r>
          <a:endParaRPr kumimoji="1" lang="en-US" altLang="ja-JP" sz="3200"/>
        </a:p>
      </xdr:txBody>
    </xdr:sp>
    <xdr:clientData/>
  </xdr:twoCellAnchor>
  <xdr:twoCellAnchor>
    <xdr:from>
      <xdr:col>8</xdr:col>
      <xdr:colOff>102863</xdr:colOff>
      <xdr:row>27</xdr:row>
      <xdr:rowOff>54180</xdr:rowOff>
    </xdr:from>
    <xdr:to>
      <xdr:col>11</xdr:col>
      <xdr:colOff>310845</xdr:colOff>
      <xdr:row>31</xdr:row>
      <xdr:rowOff>63706</xdr:rowOff>
    </xdr:to>
    <xdr:sp macro="[0]!ステージ1" textlink="">
      <xdr:nvSpPr>
        <xdr:cNvPr id="12" name="正方形/長方形 11">
          <a:extLst>
            <a:ext uri="{FF2B5EF4-FFF2-40B4-BE49-F238E27FC236}">
              <a16:creationId xmlns:a16="http://schemas.microsoft.com/office/drawing/2014/main" id="{D276CE6B-C585-4580-A1FE-0FF6A4429F06}"/>
            </a:ext>
          </a:extLst>
        </xdr:cNvPr>
        <xdr:cNvSpPr/>
      </xdr:nvSpPr>
      <xdr:spPr>
        <a:xfrm>
          <a:off x="5293988" y="4394009"/>
          <a:ext cx="2154655" cy="652463"/>
        </a:xfrm>
        <a:prstGeom prst="rect">
          <a:avLst/>
        </a:prstGeom>
        <a:solidFill>
          <a:schemeClr val="accent6">
            <a:lumMod val="75000"/>
          </a:schemeClr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3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ステージ１</a:t>
          </a:r>
        </a:p>
      </xdr:txBody>
    </xdr:sp>
    <xdr:clientData/>
  </xdr:twoCellAnchor>
  <xdr:twoCellAnchor>
    <xdr:from>
      <xdr:col>11</xdr:col>
      <xdr:colOff>449678</xdr:colOff>
      <xdr:row>27</xdr:row>
      <xdr:rowOff>55868</xdr:rowOff>
    </xdr:from>
    <xdr:to>
      <xdr:col>15</xdr:col>
      <xdr:colOff>12615</xdr:colOff>
      <xdr:row>31</xdr:row>
      <xdr:rowOff>65394</xdr:rowOff>
    </xdr:to>
    <xdr:sp macro="[0]!ステージ2" textlink="">
      <xdr:nvSpPr>
        <xdr:cNvPr id="13" name="正方形/長方形 12">
          <a:extLst>
            <a:ext uri="{FF2B5EF4-FFF2-40B4-BE49-F238E27FC236}">
              <a16:creationId xmlns:a16="http://schemas.microsoft.com/office/drawing/2014/main" id="{1C159228-136C-46ED-808D-405236D5C87B}"/>
            </a:ext>
          </a:extLst>
        </xdr:cNvPr>
        <xdr:cNvSpPr/>
      </xdr:nvSpPr>
      <xdr:spPr>
        <a:xfrm>
          <a:off x="7587476" y="4395697"/>
          <a:ext cx="2158499" cy="652463"/>
        </a:xfrm>
        <a:prstGeom prst="rect">
          <a:avLst/>
        </a:prstGeom>
        <a:solidFill>
          <a:schemeClr val="accent6">
            <a:lumMod val="75000"/>
          </a:schemeClr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3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ステージ２</a:t>
          </a:r>
        </a:p>
      </xdr:txBody>
    </xdr:sp>
    <xdr:clientData/>
  </xdr:twoCellAnchor>
  <xdr:twoCellAnchor>
    <xdr:from>
      <xdr:col>15</xdr:col>
      <xdr:colOff>193500</xdr:colOff>
      <xdr:row>27</xdr:row>
      <xdr:rowOff>57631</xdr:rowOff>
    </xdr:from>
    <xdr:to>
      <xdr:col>18</xdr:col>
      <xdr:colOff>405328</xdr:colOff>
      <xdr:row>31</xdr:row>
      <xdr:rowOff>67157</xdr:rowOff>
    </xdr:to>
    <xdr:sp macro="[0]!ステージ3" textlink="">
      <xdr:nvSpPr>
        <xdr:cNvPr id="14" name="正方形/長方形 13">
          <a:extLst>
            <a:ext uri="{FF2B5EF4-FFF2-40B4-BE49-F238E27FC236}">
              <a16:creationId xmlns:a16="http://schemas.microsoft.com/office/drawing/2014/main" id="{92C3B8E5-23EE-4D53-8CF2-22F02E4C3723}"/>
            </a:ext>
          </a:extLst>
        </xdr:cNvPr>
        <xdr:cNvSpPr/>
      </xdr:nvSpPr>
      <xdr:spPr>
        <a:xfrm>
          <a:off x="9926860" y="4397460"/>
          <a:ext cx="2158499" cy="652463"/>
        </a:xfrm>
        <a:prstGeom prst="rect">
          <a:avLst/>
        </a:prstGeom>
        <a:solidFill>
          <a:schemeClr val="accent6">
            <a:lumMod val="75000"/>
          </a:schemeClr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3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ステージ３</a:t>
          </a:r>
        </a:p>
      </xdr:txBody>
    </xdr:sp>
    <xdr:clientData/>
  </xdr:twoCellAnchor>
  <xdr:twoCellAnchor>
    <xdr:from>
      <xdr:col>8</xdr:col>
      <xdr:colOff>186883</xdr:colOff>
      <xdr:row>42</xdr:row>
      <xdr:rowOff>18086</xdr:rowOff>
    </xdr:from>
    <xdr:to>
      <xdr:col>22</xdr:col>
      <xdr:colOff>548592</xdr:colOff>
      <xdr:row>48</xdr:row>
      <xdr:rowOff>72342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FB45F78-7639-4237-8686-35D0B24E9014}"/>
            </a:ext>
          </a:extLst>
        </xdr:cNvPr>
        <xdr:cNvSpPr/>
      </xdr:nvSpPr>
      <xdr:spPr>
        <a:xfrm>
          <a:off x="5347263" y="6854383"/>
          <a:ext cx="9392373" cy="1030870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800">
              <a:solidFill>
                <a:srgbClr val="002060"/>
              </a:solidFill>
            </a:rPr>
            <a:t>注意</a:t>
          </a:r>
          <a:endParaRPr kumimoji="1" lang="en-US" altLang="ja-JP" sz="2800">
            <a:solidFill>
              <a:srgbClr val="002060"/>
            </a:solidFill>
          </a:endParaRPr>
        </a:p>
        <a:p>
          <a:pPr algn="l"/>
          <a:r>
            <a:rPr kumimoji="1" lang="ja-JP" altLang="en-US" sz="2800">
              <a:solidFill>
                <a:srgbClr val="002060"/>
              </a:solidFill>
            </a:rPr>
            <a:t>必ず編成は</a:t>
          </a:r>
          <a:r>
            <a:rPr kumimoji="1" lang="en-US" altLang="ja-JP" sz="2800">
              <a:solidFill>
                <a:srgbClr val="002060"/>
              </a:solidFill>
            </a:rPr>
            <a:t>6</a:t>
          </a:r>
          <a:r>
            <a:rPr kumimoji="1" lang="ja-JP" altLang="en-US" sz="2800">
              <a:solidFill>
                <a:srgbClr val="002060"/>
              </a:solidFill>
            </a:rPr>
            <a:t>隻分埋めてください。そうしないとバグります。</a:t>
          </a:r>
          <a:endParaRPr kumimoji="1" lang="en-US" altLang="ja-JP" sz="2800">
            <a:solidFill>
              <a:srgbClr val="002060"/>
            </a:solidFill>
          </a:endParaRPr>
        </a:p>
      </xdr:txBody>
    </xdr:sp>
    <xdr:clientData/>
  </xdr:twoCellAnchor>
  <xdr:twoCellAnchor>
    <xdr:from>
      <xdr:col>0</xdr:col>
      <xdr:colOff>96455</xdr:colOff>
      <xdr:row>26</xdr:row>
      <xdr:rowOff>156740</xdr:rowOff>
    </xdr:from>
    <xdr:to>
      <xdr:col>8</xdr:col>
      <xdr:colOff>12056</xdr:colOff>
      <xdr:row>32</xdr:row>
      <xdr:rowOff>109538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2EFF5C7-62D5-44E3-A5C6-FC353356EBD7}"/>
            </a:ext>
          </a:extLst>
        </xdr:cNvPr>
        <xdr:cNvSpPr/>
      </xdr:nvSpPr>
      <xdr:spPr>
        <a:xfrm>
          <a:off x="96455" y="4366790"/>
          <a:ext cx="5097201" cy="92434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200"/>
            <a:t>遊び方</a:t>
          </a:r>
          <a:endParaRPr kumimoji="1" lang="en-US" altLang="ja-JP" sz="1200"/>
        </a:p>
        <a:p>
          <a:pPr algn="l"/>
          <a:r>
            <a:rPr kumimoji="1" lang="ja-JP" altLang="en-US" sz="1200"/>
            <a:t>編成のところに艦名を入力する。</a:t>
          </a:r>
          <a:r>
            <a:rPr kumimoji="1" lang="en-US" altLang="ja-JP" sz="1200"/>
            <a:t>(</a:t>
          </a:r>
          <a:r>
            <a:rPr kumimoji="1" lang="ja-JP" altLang="en-US" sz="1200"/>
            <a:t>必ず６隻分やること</a:t>
          </a:r>
          <a:r>
            <a:rPr kumimoji="1" lang="en-US" altLang="ja-JP" sz="1200"/>
            <a:t>)</a:t>
          </a:r>
        </a:p>
        <a:p>
          <a:pPr algn="l"/>
          <a:r>
            <a:rPr kumimoji="1" lang="ja-JP" altLang="en-US" sz="1200"/>
            <a:t>ステージを選ぶ。初めてならステージ</a:t>
          </a:r>
          <a:r>
            <a:rPr kumimoji="1" lang="en-US" altLang="ja-JP" sz="1200"/>
            <a:t>1</a:t>
          </a:r>
          <a:r>
            <a:rPr kumimoji="1" lang="ja-JP" altLang="en-US" sz="1200"/>
            <a:t>推奨</a:t>
          </a:r>
          <a:endParaRPr kumimoji="1" lang="en-US" altLang="ja-JP" sz="1200"/>
        </a:p>
        <a:p>
          <a:pPr algn="l"/>
          <a:r>
            <a:rPr kumimoji="1" lang="ja-JP" altLang="en-US" sz="1200"/>
            <a:t>戦闘開始ボタンを押す。あとは見てるだけ。</a:t>
          </a:r>
          <a:endParaRPr kumimoji="1" lang="en-US" altLang="ja-JP" sz="1200"/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209022</xdr:colOff>
      <xdr:row>40</xdr:row>
      <xdr:rowOff>26457</xdr:rowOff>
    </xdr:from>
    <xdr:to>
      <xdr:col>9</xdr:col>
      <xdr:colOff>275171</xdr:colOff>
      <xdr:row>40</xdr:row>
      <xdr:rowOff>116416</xdr:rowOff>
    </xdr:to>
    <xdr:sp macro="" textlink="">
      <xdr:nvSpPr>
        <xdr:cNvPr id="7" name="矢印: 折線 6">
          <a:extLst>
            <a:ext uri="{FF2B5EF4-FFF2-40B4-BE49-F238E27FC236}">
              <a16:creationId xmlns:a16="http://schemas.microsoft.com/office/drawing/2014/main" id="{9D210AA3-65C4-4E89-AD29-5070D402BA76}"/>
            </a:ext>
          </a:extLst>
        </xdr:cNvPr>
        <xdr:cNvSpPr/>
      </xdr:nvSpPr>
      <xdr:spPr>
        <a:xfrm rot="16200000">
          <a:off x="3747825" y="4340488"/>
          <a:ext cx="89959" cy="4585232"/>
        </a:xfrm>
        <a:prstGeom prst="bent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42333</xdr:colOff>
      <xdr:row>39</xdr:row>
      <xdr:rowOff>136921</xdr:rowOff>
    </xdr:from>
    <xdr:to>
      <xdr:col>15</xdr:col>
      <xdr:colOff>142874</xdr:colOff>
      <xdr:row>41</xdr:row>
      <xdr:rowOff>105832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3AFC4ED6-E6A3-49C2-8CF1-C00B11CCC9B8}"/>
            </a:ext>
          </a:extLst>
        </xdr:cNvPr>
        <xdr:cNvSpPr/>
      </xdr:nvSpPr>
      <xdr:spPr>
        <a:xfrm>
          <a:off x="5882349" y="6405562"/>
          <a:ext cx="3993885" cy="2903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ここに名前を入力すると各種ステータスは自動反映されます</a:t>
          </a:r>
        </a:p>
      </xdr:txBody>
    </xdr:sp>
    <xdr:clientData/>
  </xdr:twoCellAnchor>
  <xdr:twoCellAnchor>
    <xdr:from>
      <xdr:col>15</xdr:col>
      <xdr:colOff>232172</xdr:colOff>
      <xdr:row>32</xdr:row>
      <xdr:rowOff>77391</xdr:rowOff>
    </xdr:from>
    <xdr:to>
      <xdr:col>23</xdr:col>
      <xdr:colOff>89297</xdr:colOff>
      <xdr:row>41</xdr:row>
      <xdr:rowOff>89297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F1C0302C-FD52-4DD4-B3CA-FCE13494761E}"/>
            </a:ext>
          </a:extLst>
        </xdr:cNvPr>
        <xdr:cNvSpPr txBox="1"/>
      </xdr:nvSpPr>
      <xdr:spPr>
        <a:xfrm>
          <a:off x="9965532" y="5220891"/>
          <a:ext cx="5048250" cy="145851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ＤＣ方隷書W3" panose="03000309000000000000" pitchFamily="65" charset="-128"/>
              <a:ea typeface="ＤＣ方隷書W3" panose="03000309000000000000" pitchFamily="65" charset="-128"/>
            </a:rPr>
            <a:t>エクセル大海戦</a:t>
          </a:r>
          <a:endParaRPr kumimoji="1" lang="en-US" altLang="ja-JP" sz="5400" b="1" cap="none" spc="0">
            <a:ln w="9525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  <a:latin typeface="ＤＣ方隷書W3" panose="03000309000000000000" pitchFamily="65" charset="-128"/>
            <a:ea typeface="ＤＣ方隷書W3" panose="03000309000000000000" pitchFamily="65" charset="-128"/>
          </a:endParaRPr>
        </a:p>
        <a:p>
          <a:r>
            <a:rPr kumimoji="1" lang="en-US" altLang="ja-JP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ＤＣ方隷書W3" panose="03000309000000000000" pitchFamily="65" charset="-128"/>
              <a:ea typeface="ＤＣ方隷書W3" panose="03000309000000000000" pitchFamily="65" charset="-128"/>
            </a:rPr>
            <a:t>ALPHA</a:t>
          </a:r>
          <a:r>
            <a:rPr kumimoji="1" lang="en-US" altLang="ja-JP" sz="28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ＤＣ方隷書W3" panose="03000309000000000000" pitchFamily="65" charset="-128"/>
              <a:ea typeface="ＤＣ方隷書W3" panose="03000309000000000000" pitchFamily="65" charset="-128"/>
            </a:rPr>
            <a:t> EDITION</a:t>
          </a:r>
          <a:endParaRPr kumimoji="1" lang="ja-JP" altLang="en-US" sz="2800" b="1" cap="none" spc="0">
            <a:ln w="9525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  <a:latin typeface="ＤＣ方隷書W3" panose="03000309000000000000" pitchFamily="65" charset="-128"/>
            <a:ea typeface="ＤＣ方隷書W3" panose="03000309000000000000" pitchFamily="65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69"/>
  <sheetViews>
    <sheetView tabSelected="1" zoomScale="80" zoomScaleNormal="80" workbookViewId="0">
      <selection activeCell="K36" sqref="K36"/>
    </sheetView>
  </sheetViews>
  <sheetFormatPr defaultRowHeight="12.75" x14ac:dyDescent="0.25"/>
  <sheetData>
    <row r="1" spans="1:24" x14ac:dyDescent="0.25">
      <c r="A1" s="6" t="s">
        <v>33</v>
      </c>
      <c r="B1" s="7" t="s">
        <v>83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5">
        <v>10</v>
      </c>
      <c r="U1" s="5">
        <v>11</v>
      </c>
      <c r="V1" s="5">
        <v>12</v>
      </c>
      <c r="W1" s="5"/>
      <c r="X1" s="9"/>
    </row>
    <row r="2" spans="1:2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9"/>
    </row>
    <row r="3" spans="1:24" x14ac:dyDescent="0.25">
      <c r="A3" s="2"/>
      <c r="B3" s="3"/>
      <c r="C3" s="3" t="str">
        <f>U5</f>
        <v>練習戦艦１</v>
      </c>
      <c r="D3" s="2"/>
      <c r="E3" s="3"/>
      <c r="F3" s="3" t="str">
        <f>U7</f>
        <v>練習戦艦２</v>
      </c>
      <c r="G3" s="2"/>
      <c r="H3" s="3"/>
      <c r="I3" s="3" t="str">
        <f>U9</f>
        <v>練習戦艦３</v>
      </c>
      <c r="J3" s="2"/>
      <c r="K3" s="3"/>
      <c r="L3" s="3" t="str">
        <f>U11</f>
        <v>練習戦艦４</v>
      </c>
      <c r="M3" s="2"/>
      <c r="N3" s="3"/>
      <c r="O3" s="3" t="str">
        <f>U13</f>
        <v>練習戦艦５</v>
      </c>
      <c r="P3" s="2"/>
      <c r="Q3" s="3"/>
      <c r="R3" s="3" t="str">
        <f>U15</f>
        <v>練習戦艦６</v>
      </c>
      <c r="S3" s="2"/>
      <c r="T3" s="6" t="s">
        <v>30</v>
      </c>
      <c r="U3" s="10"/>
      <c r="V3" s="10" t="s">
        <v>34</v>
      </c>
      <c r="W3" s="10" t="s">
        <v>32</v>
      </c>
      <c r="X3" s="9"/>
    </row>
    <row r="4" spans="1:24" x14ac:dyDescent="0.25">
      <c r="A4" s="2"/>
      <c r="B4" s="4" t="s">
        <v>9</v>
      </c>
      <c r="C4" s="4">
        <f>V5</f>
        <v>0</v>
      </c>
      <c r="D4" s="2"/>
      <c r="E4" s="4" t="s">
        <v>9</v>
      </c>
      <c r="F4" s="4">
        <f>V7</f>
        <v>0</v>
      </c>
      <c r="G4" s="2"/>
      <c r="H4" s="4" t="s">
        <v>9</v>
      </c>
      <c r="I4" s="4">
        <f>V9</f>
        <v>0</v>
      </c>
      <c r="J4" s="2"/>
      <c r="K4" s="4" t="s">
        <v>9</v>
      </c>
      <c r="L4" s="4">
        <f>V11</f>
        <v>0</v>
      </c>
      <c r="M4" s="2"/>
      <c r="N4" s="4" t="s">
        <v>9</v>
      </c>
      <c r="O4" s="4">
        <f>V13</f>
        <v>0</v>
      </c>
      <c r="P4" s="2"/>
      <c r="Q4" s="4" t="s">
        <v>9</v>
      </c>
      <c r="R4" s="4">
        <f>V15</f>
        <v>0</v>
      </c>
      <c r="S4" s="2"/>
      <c r="T4" s="6">
        <v>1</v>
      </c>
      <c r="U4" s="10" t="s">
        <v>48</v>
      </c>
      <c r="V4" s="10">
        <v>24</v>
      </c>
      <c r="W4" s="10">
        <v>1</v>
      </c>
      <c r="X4" s="9"/>
    </row>
    <row r="5" spans="1:24" x14ac:dyDescent="0.25">
      <c r="A5" s="2"/>
      <c r="B5" s="4" t="s">
        <v>10</v>
      </c>
      <c r="C5" s="4" t="str">
        <f>IF(W5=1,"健在","撃沈")</f>
        <v>撃沈</v>
      </c>
      <c r="D5" s="2"/>
      <c r="E5" s="4" t="s">
        <v>10</v>
      </c>
      <c r="F5" s="4" t="str">
        <f>IF(W7=1,"健在","撃沈")</f>
        <v>撃沈</v>
      </c>
      <c r="G5" s="2"/>
      <c r="H5" s="4" t="s">
        <v>10</v>
      </c>
      <c r="I5" s="4" t="str">
        <f>IF(W9=1,"健在","撃沈")</f>
        <v>健在</v>
      </c>
      <c r="J5" s="2"/>
      <c r="K5" s="4" t="s">
        <v>10</v>
      </c>
      <c r="L5" s="4" t="str">
        <f>IF(W11=1,"健在","撃沈")</f>
        <v>撃沈</v>
      </c>
      <c r="M5" s="2"/>
      <c r="N5" s="4" t="s">
        <v>10</v>
      </c>
      <c r="O5" s="4" t="str">
        <f>IF(W13=1,"健在","撃沈")</f>
        <v>撃沈</v>
      </c>
      <c r="P5" s="2"/>
      <c r="Q5" s="4" t="s">
        <v>10</v>
      </c>
      <c r="R5" s="4" t="str">
        <f>IF(W15=1,"健在","撃沈")</f>
        <v>撃沈</v>
      </c>
      <c r="S5" s="2"/>
      <c r="T5" s="6">
        <v>2</v>
      </c>
      <c r="U5" s="10" t="s">
        <v>77</v>
      </c>
      <c r="V5" s="10">
        <v>0</v>
      </c>
      <c r="W5" s="10">
        <v>0</v>
      </c>
      <c r="X5" s="9"/>
    </row>
    <row r="6" spans="1:24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6">
        <v>3</v>
      </c>
      <c r="U6" s="10" t="s">
        <v>42</v>
      </c>
      <c r="V6" s="10">
        <v>24</v>
      </c>
      <c r="W6" s="10">
        <v>1</v>
      </c>
      <c r="X6" s="9"/>
    </row>
    <row r="7" spans="1:24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6">
        <v>4</v>
      </c>
      <c r="U7" s="10" t="s">
        <v>78</v>
      </c>
      <c r="V7" s="10">
        <v>0</v>
      </c>
      <c r="W7" s="10">
        <v>0</v>
      </c>
      <c r="X7" s="9"/>
    </row>
    <row r="8" spans="1:24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6">
        <v>5</v>
      </c>
      <c r="U8" s="10" t="s">
        <v>43</v>
      </c>
      <c r="V8" s="10">
        <v>24</v>
      </c>
      <c r="W8" s="10">
        <v>1</v>
      </c>
      <c r="X8" s="9"/>
    </row>
    <row r="9" spans="1:24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6">
        <v>6</v>
      </c>
      <c r="U9" s="10" t="s">
        <v>79</v>
      </c>
      <c r="V9" s="10">
        <v>0</v>
      </c>
      <c r="W9" s="10">
        <v>1</v>
      </c>
      <c r="X9" s="9"/>
    </row>
    <row r="10" spans="1:24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6">
        <v>7</v>
      </c>
      <c r="U10" s="10" t="s">
        <v>57</v>
      </c>
      <c r="V10" s="10">
        <v>24</v>
      </c>
      <c r="W10" s="10">
        <v>1</v>
      </c>
      <c r="X10" s="9"/>
    </row>
    <row r="11" spans="1:24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6">
        <v>8</v>
      </c>
      <c r="U11" s="10" t="s">
        <v>80</v>
      </c>
      <c r="V11" s="10">
        <v>0</v>
      </c>
      <c r="W11" s="10">
        <v>0</v>
      </c>
      <c r="X11" s="9"/>
    </row>
    <row r="12" spans="1:24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6">
        <v>9</v>
      </c>
      <c r="U12" s="10" t="s">
        <v>37</v>
      </c>
      <c r="V12" s="10">
        <v>0</v>
      </c>
      <c r="W12" s="10">
        <v>0</v>
      </c>
      <c r="X12" s="9"/>
    </row>
    <row r="13" spans="1:2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6">
        <v>10</v>
      </c>
      <c r="U13" s="10" t="s">
        <v>81</v>
      </c>
      <c r="V13" s="10">
        <v>0</v>
      </c>
      <c r="W13" s="10">
        <v>0</v>
      </c>
      <c r="X13" s="9"/>
    </row>
    <row r="14" spans="1:24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6">
        <v>11</v>
      </c>
      <c r="U14" s="10" t="s">
        <v>39</v>
      </c>
      <c r="V14" s="10">
        <v>27</v>
      </c>
      <c r="W14" s="10">
        <v>1</v>
      </c>
      <c r="X14" s="9"/>
    </row>
    <row r="15" spans="1:24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6">
        <v>12</v>
      </c>
      <c r="U15" s="10" t="s">
        <v>82</v>
      </c>
      <c r="V15" s="10">
        <v>0</v>
      </c>
      <c r="W15" s="10">
        <v>0</v>
      </c>
      <c r="X15" s="9"/>
    </row>
    <row r="16" spans="1:24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6"/>
      <c r="U16" s="10"/>
      <c r="V16" s="10"/>
      <c r="W16" s="10"/>
      <c r="X16" s="9"/>
    </row>
    <row r="17" spans="1:24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8"/>
      <c r="U17" s="8"/>
      <c r="V17" s="2"/>
      <c r="W17" s="2"/>
      <c r="X17" s="9"/>
    </row>
    <row r="18" spans="1:24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6" t="s">
        <v>35</v>
      </c>
      <c r="U18" s="6" t="s">
        <v>36</v>
      </c>
      <c r="V18" s="2"/>
      <c r="W18" s="2"/>
      <c r="X18" s="9"/>
    </row>
    <row r="19" spans="1:24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6" t="s">
        <v>31</v>
      </c>
      <c r="U19" s="6" t="str">
        <f>IF(W4+W6+W8+W10+W12+W14&gt;W5+W7+W9+W11+W13+W15,"優勢","劣勢")</f>
        <v>優勢</v>
      </c>
      <c r="V19" s="2"/>
      <c r="W19" s="2"/>
      <c r="X19" s="9"/>
    </row>
    <row r="20" spans="1:24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6"/>
      <c r="U20" s="6"/>
      <c r="V20" s="2"/>
      <c r="W20" s="2"/>
      <c r="X20" s="9"/>
    </row>
    <row r="21" spans="1:24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6"/>
      <c r="U21" s="6"/>
      <c r="V21" s="2"/>
      <c r="W21" s="2"/>
      <c r="X21" s="9"/>
    </row>
    <row r="22" spans="1:24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6"/>
      <c r="U22" s="6"/>
      <c r="V22" s="2"/>
      <c r="W22" s="2"/>
    </row>
    <row r="23" spans="1:24" x14ac:dyDescent="0.25">
      <c r="A23" s="2"/>
      <c r="B23" s="3"/>
      <c r="C23" s="3" t="str">
        <f>C35</f>
        <v>敷島</v>
      </c>
      <c r="D23" s="2"/>
      <c r="E23" s="3"/>
      <c r="F23" s="3" t="str">
        <f>C36</f>
        <v>朝日</v>
      </c>
      <c r="G23" s="2"/>
      <c r="H23" s="3"/>
      <c r="I23" s="3" t="str">
        <f>C37</f>
        <v>初瀬</v>
      </c>
      <c r="J23" s="2"/>
      <c r="K23" s="3"/>
      <c r="L23" s="3" t="str">
        <f>C38</f>
        <v>三笠</v>
      </c>
      <c r="M23" s="2"/>
      <c r="N23" s="3"/>
      <c r="O23" s="3" t="str">
        <f>C39</f>
        <v>富士[2]</v>
      </c>
      <c r="P23" s="2"/>
      <c r="Q23" s="3"/>
      <c r="R23" s="3" t="str">
        <f>C40</f>
        <v>香取[1]</v>
      </c>
      <c r="S23" s="2"/>
      <c r="T23" s="6"/>
      <c r="U23" s="6"/>
      <c r="V23" s="2"/>
      <c r="W23" s="2"/>
    </row>
    <row r="24" spans="1:24" x14ac:dyDescent="0.25">
      <c r="A24" s="2"/>
      <c r="B24" s="4" t="s">
        <v>9</v>
      </c>
      <c r="C24" s="4">
        <f>V4</f>
        <v>24</v>
      </c>
      <c r="D24" s="2"/>
      <c r="E24" s="4" t="s">
        <v>9</v>
      </c>
      <c r="F24" s="4">
        <f>V6</f>
        <v>24</v>
      </c>
      <c r="G24" s="2"/>
      <c r="H24" s="4" t="s">
        <v>9</v>
      </c>
      <c r="I24" s="4">
        <f>V8</f>
        <v>24</v>
      </c>
      <c r="J24" s="2"/>
      <c r="K24" s="4" t="s">
        <v>9</v>
      </c>
      <c r="L24" s="4">
        <f>V10</f>
        <v>24</v>
      </c>
      <c r="M24" s="2"/>
      <c r="N24" s="4" t="s">
        <v>9</v>
      </c>
      <c r="O24" s="4">
        <f>V12</f>
        <v>0</v>
      </c>
      <c r="P24" s="2"/>
      <c r="Q24" s="4" t="s">
        <v>9</v>
      </c>
      <c r="R24" s="4">
        <f>V14</f>
        <v>27</v>
      </c>
      <c r="S24" s="2"/>
      <c r="T24" s="6"/>
      <c r="U24" s="6"/>
      <c r="V24" s="2"/>
      <c r="W24" s="2"/>
    </row>
    <row r="25" spans="1:24" x14ac:dyDescent="0.25">
      <c r="A25" s="2"/>
      <c r="B25" s="4" t="s">
        <v>10</v>
      </c>
      <c r="C25" s="4" t="str">
        <f>IF(W4=1,"健在","撃沈")</f>
        <v>健在</v>
      </c>
      <c r="D25" s="2"/>
      <c r="E25" s="4" t="s">
        <v>10</v>
      </c>
      <c r="F25" s="4" t="str">
        <f>IF(W6=1,"健在","撃沈")</f>
        <v>健在</v>
      </c>
      <c r="G25" s="2"/>
      <c r="H25" s="4" t="s">
        <v>10</v>
      </c>
      <c r="I25" s="4" t="str">
        <f>IF(W8=1,"健在","撃沈")</f>
        <v>健在</v>
      </c>
      <c r="J25" s="2"/>
      <c r="K25" s="4" t="s">
        <v>10</v>
      </c>
      <c r="L25" s="4" t="str">
        <f>IF(W10=1,"健在","撃沈")</f>
        <v>健在</v>
      </c>
      <c r="M25" s="2"/>
      <c r="N25" s="4" t="s">
        <v>10</v>
      </c>
      <c r="O25" s="4" t="str">
        <f>IF(W12=1,"健在","撃沈")</f>
        <v>撃沈</v>
      </c>
      <c r="P25" s="2"/>
      <c r="Q25" s="4" t="s">
        <v>10</v>
      </c>
      <c r="R25" s="4" t="str">
        <f>IF(W14=1,"健在","撃沈")</f>
        <v>健在</v>
      </c>
      <c r="S25" s="2"/>
      <c r="T25" s="6"/>
      <c r="U25" s="6"/>
      <c r="V25" s="2"/>
      <c r="W25" s="2"/>
    </row>
    <row r="26" spans="1:24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34" spans="1:10" x14ac:dyDescent="0.25">
      <c r="A34" s="11" t="s">
        <v>6</v>
      </c>
      <c r="B34" s="11" t="s">
        <v>40</v>
      </c>
      <c r="C34" s="11" t="s">
        <v>18</v>
      </c>
      <c r="D34" s="11" t="s">
        <v>58</v>
      </c>
      <c r="E34" s="11" t="s">
        <v>59</v>
      </c>
      <c r="F34" s="11" t="s">
        <v>5</v>
      </c>
      <c r="G34" s="11" t="s">
        <v>60</v>
      </c>
      <c r="H34" s="11" t="s">
        <v>41</v>
      </c>
      <c r="I34" s="12"/>
      <c r="J34" s="12"/>
    </row>
    <row r="35" spans="1:10" x14ac:dyDescent="0.25">
      <c r="A35" s="11">
        <v>1</v>
      </c>
      <c r="B35" s="11">
        <f t="shared" ref="B35:B40" si="0">INDEX($B$52:$H$69,MATCH(C35,$C$52:$C$69,0),1)</f>
        <v>10</v>
      </c>
      <c r="C35" s="11" t="s">
        <v>46</v>
      </c>
      <c r="D35" s="11">
        <f t="shared" ref="D35:D40" si="1">VLOOKUP(C35,$C$52:$G$349,2,FALSE)</f>
        <v>20</v>
      </c>
      <c r="E35" s="11">
        <f t="shared" ref="E35:E40" si="2">VLOOKUP(C35,$C$52:$G$349,3,FALSE)</f>
        <v>12</v>
      </c>
      <c r="F35" s="11">
        <f t="shared" ref="F35:F40" si="3">VLOOKUP(C35,$C$52:$G$349,4,FALSE)</f>
        <v>24</v>
      </c>
      <c r="G35" s="11">
        <f t="shared" ref="G35:G40" si="4">VLOOKUP(C35,$C$52:$G$349,5,FALSE)</f>
        <v>75</v>
      </c>
      <c r="H35" s="11">
        <f t="shared" ref="H35:H40" si="5">VLOOKUP(C35,$C$52:$H$69,6,FALSE)</f>
        <v>6</v>
      </c>
      <c r="I35" s="12"/>
      <c r="J35" s="12"/>
    </row>
    <row r="36" spans="1:10" x14ac:dyDescent="0.25">
      <c r="A36" s="11">
        <v>2</v>
      </c>
      <c r="B36" s="11">
        <f t="shared" si="0"/>
        <v>9</v>
      </c>
      <c r="C36" s="11" t="s">
        <v>45</v>
      </c>
      <c r="D36" s="11">
        <f t="shared" si="1"/>
        <v>21</v>
      </c>
      <c r="E36" s="11">
        <f t="shared" si="2"/>
        <v>12</v>
      </c>
      <c r="F36" s="11">
        <f t="shared" si="3"/>
        <v>24</v>
      </c>
      <c r="G36" s="11">
        <f t="shared" si="4"/>
        <v>24</v>
      </c>
      <c r="H36" s="11">
        <f t="shared" si="5"/>
        <v>17</v>
      </c>
      <c r="I36" s="12"/>
      <c r="J36" s="12"/>
    </row>
    <row r="37" spans="1:10" x14ac:dyDescent="0.25">
      <c r="A37" s="11">
        <v>3</v>
      </c>
      <c r="B37" s="11">
        <f t="shared" si="0"/>
        <v>10</v>
      </c>
      <c r="C37" s="11" t="s">
        <v>47</v>
      </c>
      <c r="D37" s="11">
        <f t="shared" si="1"/>
        <v>23</v>
      </c>
      <c r="E37" s="11">
        <f t="shared" si="2"/>
        <v>12</v>
      </c>
      <c r="F37" s="11">
        <f t="shared" si="3"/>
        <v>24</v>
      </c>
      <c r="G37" s="11">
        <f t="shared" si="4"/>
        <v>24</v>
      </c>
      <c r="H37" s="11">
        <f t="shared" si="5"/>
        <v>8</v>
      </c>
      <c r="I37" s="12"/>
      <c r="J37" s="12"/>
    </row>
    <row r="38" spans="1:10" x14ac:dyDescent="0.25">
      <c r="A38" s="11">
        <v>1</v>
      </c>
      <c r="B38" s="11">
        <f t="shared" si="0"/>
        <v>6</v>
      </c>
      <c r="C38" s="11" t="s">
        <v>56</v>
      </c>
      <c r="D38" s="11">
        <f t="shared" si="1"/>
        <v>25</v>
      </c>
      <c r="E38" s="11">
        <f t="shared" si="2"/>
        <v>12</v>
      </c>
      <c r="F38" s="11">
        <f t="shared" si="3"/>
        <v>24</v>
      </c>
      <c r="G38" s="11">
        <f t="shared" si="4"/>
        <v>80</v>
      </c>
      <c r="H38" s="11">
        <f t="shared" si="5"/>
        <v>2</v>
      </c>
      <c r="I38" s="12"/>
      <c r="J38" s="12"/>
    </row>
    <row r="39" spans="1:10" x14ac:dyDescent="0.25">
      <c r="A39" s="11">
        <v>5</v>
      </c>
      <c r="B39" s="11">
        <f t="shared" si="0"/>
        <v>9</v>
      </c>
      <c r="C39" s="11" t="s">
        <v>21</v>
      </c>
      <c r="D39" s="11">
        <f t="shared" si="1"/>
        <v>13</v>
      </c>
      <c r="E39" s="11">
        <f t="shared" si="2"/>
        <v>5</v>
      </c>
      <c r="F39" s="11">
        <f t="shared" si="3"/>
        <v>21</v>
      </c>
      <c r="G39" s="11">
        <f t="shared" si="4"/>
        <v>65</v>
      </c>
      <c r="H39" s="11">
        <f t="shared" si="5"/>
        <v>17</v>
      </c>
      <c r="I39" s="12"/>
      <c r="J39" s="12"/>
    </row>
    <row r="40" spans="1:10" x14ac:dyDescent="0.25">
      <c r="A40" s="11">
        <v>6</v>
      </c>
      <c r="B40" s="11">
        <f t="shared" si="0"/>
        <v>10</v>
      </c>
      <c r="C40" s="11" t="s">
        <v>38</v>
      </c>
      <c r="D40" s="11">
        <f t="shared" si="1"/>
        <v>33</v>
      </c>
      <c r="E40" s="11">
        <f t="shared" si="2"/>
        <v>20</v>
      </c>
      <c r="F40" s="11">
        <f t="shared" si="3"/>
        <v>27</v>
      </c>
      <c r="G40" s="11">
        <f t="shared" si="4"/>
        <v>24</v>
      </c>
      <c r="H40" s="11">
        <f t="shared" si="5"/>
        <v>8</v>
      </c>
      <c r="I40" s="12"/>
      <c r="J40" s="12"/>
    </row>
    <row r="42" spans="1:10" x14ac:dyDescent="0.25">
      <c r="A42" s="11"/>
      <c r="B42" s="11"/>
      <c r="C42" s="11" t="s">
        <v>19</v>
      </c>
      <c r="D42" s="11" t="s">
        <v>26</v>
      </c>
      <c r="E42" s="11" t="s">
        <v>27</v>
      </c>
      <c r="F42" s="11" t="s">
        <v>28</v>
      </c>
      <c r="G42" s="11" t="s">
        <v>29</v>
      </c>
      <c r="H42" s="11"/>
    </row>
    <row r="43" spans="1:10" x14ac:dyDescent="0.25">
      <c r="A43" s="11">
        <v>1</v>
      </c>
      <c r="B43" s="11">
        <f t="shared" ref="B43:B48" si="6">INDEX($K$52:$P$69,MATCH(C43,$L$52:$L$69,0),1)</f>
        <v>20</v>
      </c>
      <c r="C43" s="11" t="s">
        <v>71</v>
      </c>
      <c r="D43" s="11">
        <f t="shared" ref="D43:D48" si="7">VLOOKUP(C43,$L$52:$P$69,2,FALSE)</f>
        <v>23</v>
      </c>
      <c r="E43" s="11">
        <f t="shared" ref="E43:E48" si="8">VLOOKUP(C43,$L$52:$P$69,3,FALSE)</f>
        <v>10</v>
      </c>
      <c r="F43" s="11">
        <f t="shared" ref="F43:F48" si="9">VLOOKUP(C43,$L$52:$P$69,4,FALSE)</f>
        <v>23</v>
      </c>
      <c r="G43" s="11">
        <f t="shared" ref="G43:G48" si="10">VLOOKUP(C43,$L$52:$P$69,5,FALSE)</f>
        <v>50</v>
      </c>
      <c r="H43" s="11"/>
    </row>
    <row r="44" spans="1:10" x14ac:dyDescent="0.25">
      <c r="A44" s="11">
        <v>2</v>
      </c>
      <c r="B44" s="11">
        <f t="shared" si="6"/>
        <v>18</v>
      </c>
      <c r="C44" s="11" t="s">
        <v>72</v>
      </c>
      <c r="D44" s="11">
        <f t="shared" si="7"/>
        <v>20</v>
      </c>
      <c r="E44" s="11">
        <f t="shared" si="8"/>
        <v>10</v>
      </c>
      <c r="F44" s="11">
        <f t="shared" si="9"/>
        <v>28</v>
      </c>
      <c r="G44" s="11">
        <f t="shared" si="10"/>
        <v>35</v>
      </c>
      <c r="H44" s="11"/>
    </row>
    <row r="45" spans="1:10" x14ac:dyDescent="0.25">
      <c r="A45" s="11">
        <v>3</v>
      </c>
      <c r="B45" s="11">
        <f t="shared" si="6"/>
        <v>16</v>
      </c>
      <c r="C45" s="11" t="s">
        <v>73</v>
      </c>
      <c r="D45" s="11">
        <f t="shared" si="7"/>
        <v>39</v>
      </c>
      <c r="E45" s="11">
        <f t="shared" si="8"/>
        <v>27</v>
      </c>
      <c r="F45" s="11">
        <f t="shared" si="9"/>
        <v>36</v>
      </c>
      <c r="G45" s="11">
        <f t="shared" si="10"/>
        <v>35</v>
      </c>
      <c r="H45" s="11"/>
    </row>
    <row r="46" spans="1:10" x14ac:dyDescent="0.25">
      <c r="A46" s="11">
        <v>4</v>
      </c>
      <c r="B46" s="11">
        <f t="shared" si="6"/>
        <v>12</v>
      </c>
      <c r="C46" s="11" t="s">
        <v>74</v>
      </c>
      <c r="D46" s="11">
        <f t="shared" si="7"/>
        <v>38</v>
      </c>
      <c r="E46" s="11">
        <f t="shared" si="8"/>
        <v>25</v>
      </c>
      <c r="F46" s="11">
        <f t="shared" si="9"/>
        <v>28</v>
      </c>
      <c r="G46" s="11">
        <f t="shared" si="10"/>
        <v>35</v>
      </c>
      <c r="H46" s="11"/>
    </row>
    <row r="47" spans="1:10" x14ac:dyDescent="0.25">
      <c r="A47" s="11">
        <v>5</v>
      </c>
      <c r="B47" s="11">
        <f t="shared" si="6"/>
        <v>10</v>
      </c>
      <c r="C47" s="11" t="s">
        <v>75</v>
      </c>
      <c r="D47" s="11">
        <f t="shared" si="7"/>
        <v>18</v>
      </c>
      <c r="E47" s="11">
        <f t="shared" si="8"/>
        <v>10</v>
      </c>
      <c r="F47" s="11">
        <f t="shared" si="9"/>
        <v>28</v>
      </c>
      <c r="G47" s="11">
        <f t="shared" si="10"/>
        <v>35</v>
      </c>
      <c r="H47" s="11"/>
    </row>
    <row r="48" spans="1:10" x14ac:dyDescent="0.25">
      <c r="A48" s="11">
        <v>6</v>
      </c>
      <c r="B48" s="11">
        <f t="shared" si="6"/>
        <v>4</v>
      </c>
      <c r="C48" s="11" t="s">
        <v>76</v>
      </c>
      <c r="D48" s="11">
        <f t="shared" si="7"/>
        <v>46</v>
      </c>
      <c r="E48" s="11">
        <f t="shared" si="8"/>
        <v>29</v>
      </c>
      <c r="F48" s="11">
        <f t="shared" si="9"/>
        <v>35</v>
      </c>
      <c r="G48" s="11">
        <f t="shared" si="10"/>
        <v>35</v>
      </c>
      <c r="H48" s="11"/>
    </row>
    <row r="50" spans="1:16" x14ac:dyDescent="0.25">
      <c r="B50" t="s">
        <v>0</v>
      </c>
      <c r="J50" t="s">
        <v>8</v>
      </c>
    </row>
    <row r="51" spans="1:16" x14ac:dyDescent="0.25">
      <c r="A51" s="11" t="s">
        <v>1</v>
      </c>
      <c r="B51" s="11" t="s">
        <v>40</v>
      </c>
      <c r="C51" s="11" t="s">
        <v>2</v>
      </c>
      <c r="D51" s="11" t="s">
        <v>3</v>
      </c>
      <c r="E51" s="11" t="s">
        <v>4</v>
      </c>
      <c r="F51" s="11" t="s">
        <v>5</v>
      </c>
      <c r="G51" s="11" t="s">
        <v>7</v>
      </c>
      <c r="H51" s="11" t="s">
        <v>41</v>
      </c>
      <c r="J51" s="11"/>
      <c r="K51" s="11" t="s">
        <v>44</v>
      </c>
      <c r="L51" s="11"/>
      <c r="M51" s="11" t="s">
        <v>3</v>
      </c>
      <c r="N51" s="11" t="s">
        <v>4</v>
      </c>
      <c r="O51" s="11" t="s">
        <v>5</v>
      </c>
      <c r="P51" s="11" t="s">
        <v>7</v>
      </c>
    </row>
    <row r="52" spans="1:16" x14ac:dyDescent="0.25">
      <c r="A52" s="11">
        <v>1</v>
      </c>
      <c r="B52" s="11">
        <v>8</v>
      </c>
      <c r="C52" s="11" t="s">
        <v>20</v>
      </c>
      <c r="D52" s="11">
        <v>5</v>
      </c>
      <c r="E52" s="11">
        <v>5</v>
      </c>
      <c r="F52" s="11">
        <v>13</v>
      </c>
      <c r="G52" s="11">
        <v>34</v>
      </c>
      <c r="H52" s="11">
        <v>0</v>
      </c>
      <c r="J52" s="11">
        <v>1</v>
      </c>
      <c r="K52" s="11">
        <v>1</v>
      </c>
      <c r="L52" s="11" t="s">
        <v>11</v>
      </c>
      <c r="M52" s="11">
        <v>0</v>
      </c>
      <c r="N52" s="11">
        <v>5</v>
      </c>
      <c r="O52" s="11">
        <v>22</v>
      </c>
      <c r="P52" s="11">
        <v>40</v>
      </c>
    </row>
    <row r="53" spans="1:16" x14ac:dyDescent="0.25">
      <c r="A53" s="11">
        <v>2</v>
      </c>
      <c r="B53" s="11">
        <v>9</v>
      </c>
      <c r="C53" s="11" t="s">
        <v>21</v>
      </c>
      <c r="D53" s="11">
        <v>13</v>
      </c>
      <c r="E53" s="11">
        <v>5</v>
      </c>
      <c r="F53" s="11">
        <v>21</v>
      </c>
      <c r="G53" s="11">
        <v>65</v>
      </c>
      <c r="H53" s="11">
        <v>17</v>
      </c>
      <c r="J53" s="11">
        <v>2</v>
      </c>
      <c r="K53" s="11">
        <v>1</v>
      </c>
      <c r="L53" s="11" t="s">
        <v>12</v>
      </c>
      <c r="M53" s="11">
        <v>0</v>
      </c>
      <c r="N53" s="11">
        <v>5</v>
      </c>
      <c r="O53" s="11">
        <v>5</v>
      </c>
      <c r="P53" s="11">
        <v>10</v>
      </c>
    </row>
    <row r="54" spans="1:16" x14ac:dyDescent="0.25">
      <c r="A54" s="11">
        <v>3</v>
      </c>
      <c r="B54" s="11">
        <v>10</v>
      </c>
      <c r="C54" s="11" t="s">
        <v>17</v>
      </c>
      <c r="D54" s="11">
        <v>20</v>
      </c>
      <c r="E54" s="11">
        <v>12</v>
      </c>
      <c r="F54" s="11">
        <v>24</v>
      </c>
      <c r="G54" s="11">
        <v>75</v>
      </c>
      <c r="H54" s="11">
        <v>6</v>
      </c>
      <c r="J54" s="11">
        <v>3</v>
      </c>
      <c r="K54" s="11">
        <v>1</v>
      </c>
      <c r="L54" s="11" t="s">
        <v>13</v>
      </c>
      <c r="M54" s="11">
        <v>0</v>
      </c>
      <c r="N54" s="11">
        <v>5</v>
      </c>
      <c r="O54" s="11">
        <v>5</v>
      </c>
      <c r="P54" s="11">
        <v>10</v>
      </c>
    </row>
    <row r="55" spans="1:16" x14ac:dyDescent="0.25">
      <c r="A55" s="11">
        <v>4</v>
      </c>
      <c r="B55" s="11">
        <v>9</v>
      </c>
      <c r="C55" s="11" t="s">
        <v>22</v>
      </c>
      <c r="D55" s="11">
        <v>21</v>
      </c>
      <c r="E55" s="11">
        <v>12</v>
      </c>
      <c r="F55" s="11">
        <v>24</v>
      </c>
      <c r="G55" s="11">
        <v>24</v>
      </c>
      <c r="H55" s="11">
        <v>17</v>
      </c>
      <c r="J55" s="11">
        <v>4</v>
      </c>
      <c r="K55" s="11">
        <v>1</v>
      </c>
      <c r="L55" s="11" t="s">
        <v>14</v>
      </c>
      <c r="M55" s="11">
        <v>0</v>
      </c>
      <c r="N55" s="11">
        <v>5</v>
      </c>
      <c r="O55" s="11">
        <v>5</v>
      </c>
      <c r="P55" s="11">
        <v>10</v>
      </c>
    </row>
    <row r="56" spans="1:16" x14ac:dyDescent="0.25">
      <c r="A56" s="11">
        <v>5</v>
      </c>
      <c r="B56" s="11">
        <v>10</v>
      </c>
      <c r="C56" s="11" t="s">
        <v>23</v>
      </c>
      <c r="D56" s="11">
        <v>23</v>
      </c>
      <c r="E56" s="11">
        <v>12</v>
      </c>
      <c r="F56" s="11">
        <v>24</v>
      </c>
      <c r="G56" s="11">
        <v>24</v>
      </c>
      <c r="H56" s="11">
        <v>8</v>
      </c>
      <c r="J56" s="11">
        <v>5</v>
      </c>
      <c r="K56" s="11">
        <v>1</v>
      </c>
      <c r="L56" s="11" t="s">
        <v>15</v>
      </c>
      <c r="M56" s="11">
        <v>0</v>
      </c>
      <c r="N56" s="11">
        <v>5</v>
      </c>
      <c r="O56" s="11">
        <v>5</v>
      </c>
      <c r="P56" s="11">
        <v>10</v>
      </c>
    </row>
    <row r="57" spans="1:16" x14ac:dyDescent="0.25">
      <c r="A57" s="11">
        <v>6</v>
      </c>
      <c r="B57" s="11">
        <v>10</v>
      </c>
      <c r="C57" s="11" t="s">
        <v>24</v>
      </c>
      <c r="D57" s="11">
        <v>33</v>
      </c>
      <c r="E57" s="11">
        <v>20</v>
      </c>
      <c r="F57" s="11">
        <v>27</v>
      </c>
      <c r="G57" s="11">
        <v>24</v>
      </c>
      <c r="H57" s="11">
        <v>8</v>
      </c>
      <c r="J57" s="11">
        <v>6</v>
      </c>
      <c r="K57" s="11">
        <v>1</v>
      </c>
      <c r="L57" s="11" t="s">
        <v>16</v>
      </c>
      <c r="M57" s="11">
        <v>0</v>
      </c>
      <c r="N57" s="11">
        <v>5</v>
      </c>
      <c r="O57" s="11">
        <v>5</v>
      </c>
      <c r="P57" s="11">
        <v>10</v>
      </c>
    </row>
    <row r="58" spans="1:16" x14ac:dyDescent="0.25">
      <c r="A58" s="11">
        <v>7</v>
      </c>
      <c r="B58" s="11">
        <v>3</v>
      </c>
      <c r="C58" s="11" t="s">
        <v>25</v>
      </c>
      <c r="D58" s="11">
        <v>33</v>
      </c>
      <c r="E58" s="11">
        <v>20</v>
      </c>
      <c r="F58" s="11">
        <v>27</v>
      </c>
      <c r="G58" s="11">
        <v>24</v>
      </c>
      <c r="H58" s="11">
        <v>0</v>
      </c>
      <c r="J58" s="11">
        <v>7</v>
      </c>
      <c r="K58" s="11">
        <v>6</v>
      </c>
      <c r="L58" s="11" t="s">
        <v>49</v>
      </c>
      <c r="M58" s="11">
        <v>12</v>
      </c>
      <c r="N58" s="11">
        <v>6</v>
      </c>
      <c r="O58" s="11">
        <v>20</v>
      </c>
      <c r="P58" s="11">
        <v>35</v>
      </c>
    </row>
    <row r="59" spans="1:16" x14ac:dyDescent="0.25">
      <c r="A59" s="11">
        <v>8</v>
      </c>
      <c r="B59" s="11">
        <v>6</v>
      </c>
      <c r="C59" s="11" t="s">
        <v>55</v>
      </c>
      <c r="D59" s="11">
        <v>25</v>
      </c>
      <c r="E59" s="11">
        <v>12</v>
      </c>
      <c r="F59" s="11">
        <v>24</v>
      </c>
      <c r="G59" s="11">
        <v>80</v>
      </c>
      <c r="H59" s="11">
        <v>2</v>
      </c>
      <c r="J59" s="11">
        <v>8</v>
      </c>
      <c r="K59" s="11">
        <v>4</v>
      </c>
      <c r="L59" s="11" t="s">
        <v>50</v>
      </c>
      <c r="M59" s="11">
        <v>12</v>
      </c>
      <c r="N59" s="11">
        <v>6</v>
      </c>
      <c r="O59" s="11">
        <v>20</v>
      </c>
      <c r="P59" s="11">
        <v>35</v>
      </c>
    </row>
    <row r="60" spans="1:16" x14ac:dyDescent="0.25">
      <c r="A60" s="11">
        <v>9</v>
      </c>
      <c r="B60" s="11">
        <v>3</v>
      </c>
      <c r="C60" s="11" t="s">
        <v>61</v>
      </c>
      <c r="D60" s="11">
        <v>15</v>
      </c>
      <c r="E60" s="11">
        <v>12</v>
      </c>
      <c r="F60" s="11">
        <v>23</v>
      </c>
      <c r="G60" s="11">
        <v>26</v>
      </c>
      <c r="H60" s="11">
        <v>0</v>
      </c>
      <c r="J60" s="11">
        <v>9</v>
      </c>
      <c r="K60" s="11">
        <v>4</v>
      </c>
      <c r="L60" s="11" t="s">
        <v>51</v>
      </c>
      <c r="M60" s="11">
        <v>12</v>
      </c>
      <c r="N60" s="11">
        <v>6</v>
      </c>
      <c r="O60" s="11">
        <v>20</v>
      </c>
      <c r="P60" s="11">
        <v>35</v>
      </c>
    </row>
    <row r="61" spans="1:16" x14ac:dyDescent="0.25">
      <c r="A61" s="11">
        <v>10</v>
      </c>
      <c r="B61" s="11">
        <v>3</v>
      </c>
      <c r="C61" s="11" t="s">
        <v>62</v>
      </c>
      <c r="D61" s="11">
        <v>23</v>
      </c>
      <c r="E61" s="11">
        <v>17</v>
      </c>
      <c r="F61" s="11">
        <v>25</v>
      </c>
      <c r="G61" s="11">
        <v>26</v>
      </c>
      <c r="H61" s="11">
        <v>0</v>
      </c>
      <c r="J61" s="11">
        <v>10</v>
      </c>
      <c r="K61" s="11">
        <v>4</v>
      </c>
      <c r="L61" s="11" t="s">
        <v>52</v>
      </c>
      <c r="M61" s="11">
        <v>12</v>
      </c>
      <c r="N61" s="11">
        <v>6</v>
      </c>
      <c r="O61" s="11">
        <v>20</v>
      </c>
      <c r="P61" s="11">
        <v>35</v>
      </c>
    </row>
    <row r="62" spans="1:16" x14ac:dyDescent="0.25">
      <c r="A62" s="11">
        <v>11</v>
      </c>
      <c r="B62" s="11">
        <v>3</v>
      </c>
      <c r="C62" s="11" t="s">
        <v>63</v>
      </c>
      <c r="D62" s="11">
        <v>11</v>
      </c>
      <c r="E62" s="11">
        <v>10</v>
      </c>
      <c r="F62" s="11">
        <v>19</v>
      </c>
      <c r="G62" s="11">
        <v>26</v>
      </c>
      <c r="H62" s="11">
        <v>0</v>
      </c>
      <c r="J62" s="11">
        <v>11</v>
      </c>
      <c r="K62" s="11">
        <v>4</v>
      </c>
      <c r="L62" s="11" t="s">
        <v>53</v>
      </c>
      <c r="M62" s="11">
        <v>12</v>
      </c>
      <c r="N62" s="11">
        <v>6</v>
      </c>
      <c r="O62" s="11">
        <v>20</v>
      </c>
      <c r="P62" s="11">
        <v>35</v>
      </c>
    </row>
    <row r="63" spans="1:16" x14ac:dyDescent="0.25">
      <c r="A63" s="11">
        <v>12</v>
      </c>
      <c r="B63" s="11">
        <v>3</v>
      </c>
      <c r="C63" s="11" t="s">
        <v>64</v>
      </c>
      <c r="D63" s="11">
        <v>12</v>
      </c>
      <c r="E63" s="11">
        <v>10</v>
      </c>
      <c r="F63" s="11">
        <v>19</v>
      </c>
      <c r="G63" s="11">
        <v>26</v>
      </c>
      <c r="H63" s="11">
        <v>0</v>
      </c>
      <c r="J63" s="11">
        <v>12</v>
      </c>
      <c r="K63" s="11">
        <v>4</v>
      </c>
      <c r="L63" s="11" t="s">
        <v>54</v>
      </c>
      <c r="M63" s="11">
        <v>12</v>
      </c>
      <c r="N63" s="11">
        <v>6</v>
      </c>
      <c r="O63" s="11">
        <v>20</v>
      </c>
      <c r="P63" s="11">
        <v>35</v>
      </c>
    </row>
    <row r="64" spans="1:16" x14ac:dyDescent="0.25">
      <c r="A64" s="11">
        <v>13</v>
      </c>
      <c r="B64" s="11">
        <v>3</v>
      </c>
      <c r="C64" s="11" t="s">
        <v>65</v>
      </c>
      <c r="D64" s="11">
        <v>30</v>
      </c>
      <c r="E64" s="11">
        <v>26</v>
      </c>
      <c r="F64" s="11">
        <v>29</v>
      </c>
      <c r="G64" s="11">
        <v>26</v>
      </c>
      <c r="H64" s="11">
        <v>0</v>
      </c>
      <c r="J64" s="11">
        <v>13</v>
      </c>
      <c r="K64" s="11">
        <v>20</v>
      </c>
      <c r="L64" s="11" t="s">
        <v>71</v>
      </c>
      <c r="M64" s="11">
        <v>23</v>
      </c>
      <c r="N64" s="11">
        <v>10</v>
      </c>
      <c r="O64" s="11">
        <v>23</v>
      </c>
      <c r="P64" s="11">
        <v>50</v>
      </c>
    </row>
    <row r="65" spans="1:16" x14ac:dyDescent="0.25">
      <c r="A65" s="11">
        <v>14</v>
      </c>
      <c r="B65" s="11">
        <v>3</v>
      </c>
      <c r="C65" s="11" t="s">
        <v>66</v>
      </c>
      <c r="D65" s="11">
        <v>36</v>
      </c>
      <c r="E65" s="11">
        <v>22</v>
      </c>
      <c r="F65" s="11">
        <v>29</v>
      </c>
      <c r="G65" s="11">
        <v>26</v>
      </c>
      <c r="H65" s="11">
        <v>0</v>
      </c>
      <c r="J65" s="11">
        <v>14</v>
      </c>
      <c r="K65" s="11">
        <v>18</v>
      </c>
      <c r="L65" s="11" t="s">
        <v>72</v>
      </c>
      <c r="M65" s="11">
        <v>20</v>
      </c>
      <c r="N65" s="11">
        <v>10</v>
      </c>
      <c r="O65" s="11">
        <v>28</v>
      </c>
      <c r="P65" s="11">
        <v>35</v>
      </c>
    </row>
    <row r="66" spans="1:16" x14ac:dyDescent="0.25">
      <c r="A66" s="11">
        <v>15</v>
      </c>
      <c r="B66" s="11">
        <v>3</v>
      </c>
      <c r="C66" s="11" t="s">
        <v>70</v>
      </c>
      <c r="D66" s="11">
        <v>41</v>
      </c>
      <c r="E66" s="11">
        <v>24</v>
      </c>
      <c r="F66" s="11">
        <v>33</v>
      </c>
      <c r="G66" s="11">
        <v>23</v>
      </c>
      <c r="H66" s="11">
        <v>0</v>
      </c>
      <c r="J66" s="11">
        <v>15</v>
      </c>
      <c r="K66" s="11">
        <v>16</v>
      </c>
      <c r="L66" s="11" t="s">
        <v>73</v>
      </c>
      <c r="M66" s="11">
        <v>39</v>
      </c>
      <c r="N66" s="11">
        <v>27</v>
      </c>
      <c r="O66" s="11">
        <v>36</v>
      </c>
      <c r="P66" s="11">
        <v>35</v>
      </c>
    </row>
    <row r="67" spans="1:16" x14ac:dyDescent="0.25">
      <c r="A67" s="11">
        <v>16</v>
      </c>
      <c r="B67" s="11">
        <v>3</v>
      </c>
      <c r="C67" s="11" t="s">
        <v>69</v>
      </c>
      <c r="D67" s="11">
        <v>41</v>
      </c>
      <c r="E67" s="11">
        <v>24</v>
      </c>
      <c r="F67" s="11">
        <v>33</v>
      </c>
      <c r="G67" s="11">
        <v>25</v>
      </c>
      <c r="H67" s="11">
        <v>0</v>
      </c>
      <c r="J67" s="11">
        <v>16</v>
      </c>
      <c r="K67" s="11">
        <v>12</v>
      </c>
      <c r="L67" s="11" t="s">
        <v>74</v>
      </c>
      <c r="M67" s="11">
        <v>38</v>
      </c>
      <c r="N67" s="11">
        <v>25</v>
      </c>
      <c r="O67" s="11">
        <v>28</v>
      </c>
      <c r="P67" s="11">
        <v>35</v>
      </c>
    </row>
    <row r="68" spans="1:16" x14ac:dyDescent="0.25">
      <c r="A68" s="11">
        <v>17</v>
      </c>
      <c r="B68" s="11">
        <v>3</v>
      </c>
      <c r="C68" s="11" t="s">
        <v>68</v>
      </c>
      <c r="D68" s="11">
        <v>45</v>
      </c>
      <c r="E68" s="11">
        <v>25</v>
      </c>
      <c r="F68" s="11">
        <v>36</v>
      </c>
      <c r="G68" s="11">
        <v>4</v>
      </c>
      <c r="H68" s="11">
        <v>0</v>
      </c>
      <c r="J68" s="11">
        <v>17</v>
      </c>
      <c r="K68" s="11">
        <v>10</v>
      </c>
      <c r="L68" s="11" t="s">
        <v>75</v>
      </c>
      <c r="M68" s="11">
        <v>18</v>
      </c>
      <c r="N68" s="11">
        <v>10</v>
      </c>
      <c r="O68" s="11">
        <v>28</v>
      </c>
      <c r="P68" s="11">
        <v>35</v>
      </c>
    </row>
    <row r="69" spans="1:16" x14ac:dyDescent="0.25">
      <c r="A69" s="11">
        <v>18</v>
      </c>
      <c r="B69" s="11">
        <v>3</v>
      </c>
      <c r="C69" s="11" t="s">
        <v>67</v>
      </c>
      <c r="D69" s="11">
        <v>5</v>
      </c>
      <c r="E69" s="11">
        <v>4</v>
      </c>
      <c r="F69" s="11">
        <v>14</v>
      </c>
      <c r="G69" s="11">
        <v>70</v>
      </c>
      <c r="H69" s="11">
        <v>0</v>
      </c>
      <c r="J69" s="11">
        <v>18</v>
      </c>
      <c r="K69" s="11">
        <v>4</v>
      </c>
      <c r="L69" s="11" t="s">
        <v>76</v>
      </c>
      <c r="M69" s="11">
        <v>46</v>
      </c>
      <c r="N69" s="11">
        <v>29</v>
      </c>
      <c r="O69" s="11">
        <v>35</v>
      </c>
      <c r="P69" s="11">
        <v>35</v>
      </c>
    </row>
  </sheetData>
  <phoneticPr fontId="1"/>
  <pageMargins left="0.7" right="0.7" top="0.75" bottom="0.75" header="0.3" footer="0.3"/>
  <pageSetup paperSize="9" orientation="portrait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メイン画面</vt:lpstr>
    </vt:vector>
  </TitlesOfParts>
  <Company>kanagawa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kanagawa</dc:creator>
  <cp:lastModifiedBy>naruh</cp:lastModifiedBy>
  <dcterms:created xsi:type="dcterms:W3CDTF">2020-11-09T01:32:34Z</dcterms:created>
  <dcterms:modified xsi:type="dcterms:W3CDTF">2020-12-03T16:11:27Z</dcterms:modified>
</cp:coreProperties>
</file>